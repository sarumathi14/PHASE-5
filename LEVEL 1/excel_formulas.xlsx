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rum\OneDrive\Desktop\PHASE 5\LEVEL 1\"/>
    </mc:Choice>
  </mc:AlternateContent>
  <xr:revisionPtr revIDLastSave="11" documentId="11_6F34AE4096AF4197871E847B474ED6122EF2F17B" xr6:coauthVersionLast="36" xr6:coauthVersionMax="36" xr10:uidLastSave="{C0151856-D0AC-4924-8B4A-1A35FDE70347}"/>
  <bookViews>
    <workbookView xWindow="0" yWindow="0" windowWidth="19200" windowHeight="6810" xr2:uid="{00000000-000D-0000-FFFF-FFFF00000000}"/>
  </bookViews>
  <sheets>
    <sheet name="Monthly Expenses" sheetId="1" r:id="rId1"/>
    <sheet name="Summary" sheetId="2" r:id="rId2"/>
    <sheet name="Formulas Guide" sheetId="3" r:id="rId3"/>
  </sheets>
  <calcPr calcId="191029"/>
</workbook>
</file>

<file path=xl/calcChain.xml><?xml version="1.0" encoding="utf-8"?>
<calcChain xmlns="http://schemas.openxmlformats.org/spreadsheetml/2006/main">
  <c r="D12" i="1" l="1"/>
  <c r="D11" i="1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<sst xmlns="http://schemas.openxmlformats.org/spreadsheetml/2006/main" count="90" uniqueCount="59">
  <si>
    <t>Date</t>
  </si>
  <si>
    <t>Category</t>
  </si>
  <si>
    <t>Item</t>
  </si>
  <si>
    <t>Amount</t>
  </si>
  <si>
    <t>Status</t>
  </si>
  <si>
    <t>Paid_Status</t>
  </si>
  <si>
    <t>Expense_Level</t>
  </si>
  <si>
    <t>Formatted_Date</t>
  </si>
  <si>
    <t>Food</t>
  </si>
  <si>
    <t>Groceries</t>
  </si>
  <si>
    <t>Paid</t>
  </si>
  <si>
    <t>✓</t>
  </si>
  <si>
    <t>High Expense</t>
  </si>
  <si>
    <t>January 05, 2024</t>
  </si>
  <si>
    <t>Transportation</t>
  </si>
  <si>
    <t>Gas</t>
  </si>
  <si>
    <t>Medium Expense</t>
  </si>
  <si>
    <t>January 10, 2024</t>
  </si>
  <si>
    <t>Entertainment</t>
  </si>
  <si>
    <t>Movie Tickets</t>
  </si>
  <si>
    <t>Low Expense</t>
  </si>
  <si>
    <t>January 12, 2024</t>
  </si>
  <si>
    <t>Restaurant</t>
  </si>
  <si>
    <t>Pending</t>
  </si>
  <si>
    <t>✗</t>
  </si>
  <si>
    <t>January 15, 2024</t>
  </si>
  <si>
    <t>Utilities</t>
  </si>
  <si>
    <t>Electricity</t>
  </si>
  <si>
    <t>January 18, 2024</t>
  </si>
  <si>
    <t>January 20, 2024</t>
  </si>
  <si>
    <t>Bus Pass</t>
  </si>
  <si>
    <t>January 22, 2024</t>
  </si>
  <si>
    <t>Healthcare</t>
  </si>
  <si>
    <t>Medicine</t>
  </si>
  <si>
    <t>January 25, 2024</t>
  </si>
  <si>
    <t>Streaming Service</t>
  </si>
  <si>
    <t>January 28, 2024</t>
  </si>
  <si>
    <t>Count</t>
  </si>
  <si>
    <t>Total</t>
  </si>
  <si>
    <t>Average</t>
  </si>
  <si>
    <t>Formula</t>
  </si>
  <si>
    <t>Python Equivalent</t>
  </si>
  <si>
    <t>What it Does</t>
  </si>
  <si>
    <t>df['col'].sum()</t>
  </si>
  <si>
    <t>Adds up all numbers</t>
  </si>
  <si>
    <t>df['col'].mean()</t>
  </si>
  <si>
    <t>Calculates average</t>
  </si>
  <si>
    <t>df['col'].count() for numbers</t>
  </si>
  <si>
    <t>Counts cells with numbers</t>
  </si>
  <si>
    <t>df['col'].count() for any data</t>
  </si>
  <si>
    <t>Counts non-empty cells</t>
  </si>
  <si>
    <t>df['col'].apply(lambda x: value1 if condition else value2)</t>
  </si>
  <si>
    <t>Conditional logic</t>
  </si>
  <si>
    <t>df['date_col'].dt.strftime(format)</t>
  </si>
  <si>
    <t>Formats text/dates</t>
  </si>
  <si>
    <t>date(year, month, day)</t>
  </si>
  <si>
    <t>Creates a date</t>
  </si>
  <si>
    <t>SUM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</si>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</sst>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F12" sqref="F12"/>
    </sheetView>
  </sheetViews>
  <sheetFormatPr defaultRowHeight="14.5" x14ac:dyDescent="0.35"/>
  <cols>
    <col min="1" max="1" width="21" customWidth="1"/>
    <col min="2" max="2" width="16" customWidth="1"/>
    <col min="3" max="3" width="19" customWidth="1"/>
    <col min="4" max="4" width="8" customWidth="1"/>
    <col min="5" max="5" width="9" customWidth="1"/>
    <col min="6" max="6" width="13" customWidth="1"/>
    <col min="7" max="7" width="16" customWidth="1"/>
    <col min="8" max="8" width="18" customWidth="1"/>
    <col min="9" max="9" width="10" customWidth="1"/>
    <col min="10" max="10" width="19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58</v>
      </c>
    </row>
    <row r="2" spans="1:10" x14ac:dyDescent="0.35">
      <c r="A2" s="2">
        <v>45296</v>
      </c>
      <c r="B2" t="s">
        <v>8</v>
      </c>
      <c r="C2" t="s">
        <v>9</v>
      </c>
      <c r="D2">
        <v>150</v>
      </c>
      <c r="E2" t="s">
        <v>10</v>
      </c>
      <c r="F2" t="s">
        <v>11</v>
      </c>
      <c r="G2" t="s">
        <v>12</v>
      </c>
      <c r="H2" t="s">
        <v>13</v>
      </c>
      <c r="I2">
        <v>625</v>
      </c>
      <c r="J2">
        <v>69.444444444444443</v>
      </c>
    </row>
    <row r="3" spans="1:10" x14ac:dyDescent="0.35">
      <c r="A3" s="2">
        <v>45301</v>
      </c>
      <c r="B3" t="s">
        <v>14</v>
      </c>
      <c r="C3" t="s">
        <v>15</v>
      </c>
      <c r="D3">
        <v>60</v>
      </c>
      <c r="E3" t="s">
        <v>10</v>
      </c>
      <c r="F3" t="s">
        <v>11</v>
      </c>
      <c r="G3" t="s">
        <v>16</v>
      </c>
      <c r="H3" t="s">
        <v>17</v>
      </c>
      <c r="I3">
        <v>625</v>
      </c>
      <c r="J3">
        <v>69.444444444444443</v>
      </c>
    </row>
    <row r="4" spans="1:10" x14ac:dyDescent="0.35">
      <c r="A4" s="2">
        <v>45303</v>
      </c>
      <c r="B4" t="s">
        <v>18</v>
      </c>
      <c r="C4" t="s">
        <v>19</v>
      </c>
      <c r="D4">
        <v>25</v>
      </c>
      <c r="E4" t="s">
        <v>10</v>
      </c>
      <c r="F4" t="s">
        <v>11</v>
      </c>
      <c r="G4" t="s">
        <v>20</v>
      </c>
      <c r="H4" t="s">
        <v>21</v>
      </c>
      <c r="I4">
        <v>625</v>
      </c>
      <c r="J4">
        <v>69.444444444444443</v>
      </c>
    </row>
    <row r="5" spans="1:10" x14ac:dyDescent="0.35">
      <c r="A5" s="2">
        <v>45306</v>
      </c>
      <c r="B5" t="s">
        <v>8</v>
      </c>
      <c r="C5" t="s">
        <v>22</v>
      </c>
      <c r="D5">
        <v>45</v>
      </c>
      <c r="E5" t="s">
        <v>23</v>
      </c>
      <c r="F5" t="s">
        <v>24</v>
      </c>
      <c r="G5" t="s">
        <v>20</v>
      </c>
      <c r="H5" t="s">
        <v>25</v>
      </c>
      <c r="I5">
        <v>625</v>
      </c>
      <c r="J5">
        <v>69.444444444444443</v>
      </c>
    </row>
    <row r="6" spans="1:10" x14ac:dyDescent="0.35">
      <c r="A6" s="2">
        <v>45309</v>
      </c>
      <c r="B6" t="s">
        <v>26</v>
      </c>
      <c r="C6" t="s">
        <v>27</v>
      </c>
      <c r="D6">
        <v>120</v>
      </c>
      <c r="E6" t="s">
        <v>10</v>
      </c>
      <c r="F6" t="s">
        <v>11</v>
      </c>
      <c r="G6" t="s">
        <v>12</v>
      </c>
      <c r="H6" t="s">
        <v>28</v>
      </c>
      <c r="I6">
        <v>625</v>
      </c>
      <c r="J6">
        <v>69.444444444444443</v>
      </c>
    </row>
    <row r="7" spans="1:10" x14ac:dyDescent="0.35">
      <c r="A7" s="2">
        <v>45311</v>
      </c>
      <c r="B7" t="s">
        <v>8</v>
      </c>
      <c r="C7" t="s">
        <v>9</v>
      </c>
      <c r="D7">
        <v>135</v>
      </c>
      <c r="E7" t="s">
        <v>10</v>
      </c>
      <c r="F7" t="s">
        <v>11</v>
      </c>
      <c r="G7" t="s">
        <v>12</v>
      </c>
      <c r="H7" t="s">
        <v>29</v>
      </c>
      <c r="I7">
        <v>625</v>
      </c>
      <c r="J7">
        <v>69.444444444444443</v>
      </c>
    </row>
    <row r="8" spans="1:10" x14ac:dyDescent="0.35">
      <c r="A8" s="2">
        <v>45313</v>
      </c>
      <c r="B8" t="s">
        <v>14</v>
      </c>
      <c r="C8" t="s">
        <v>30</v>
      </c>
      <c r="D8">
        <v>40</v>
      </c>
      <c r="E8" t="s">
        <v>23</v>
      </c>
      <c r="F8" t="s">
        <v>24</v>
      </c>
      <c r="G8" t="s">
        <v>20</v>
      </c>
      <c r="H8" t="s">
        <v>31</v>
      </c>
      <c r="I8">
        <v>625</v>
      </c>
      <c r="J8">
        <v>69.444444444444443</v>
      </c>
    </row>
    <row r="9" spans="1:10" x14ac:dyDescent="0.35">
      <c r="A9" s="2">
        <v>45316</v>
      </c>
      <c r="B9" t="s">
        <v>32</v>
      </c>
      <c r="C9" t="s">
        <v>33</v>
      </c>
      <c r="D9">
        <v>35</v>
      </c>
      <c r="E9" t="s">
        <v>10</v>
      </c>
      <c r="F9" t="s">
        <v>11</v>
      </c>
      <c r="G9" t="s">
        <v>20</v>
      </c>
      <c r="H9" t="s">
        <v>34</v>
      </c>
      <c r="I9">
        <v>625</v>
      </c>
      <c r="J9">
        <v>69.444444444444443</v>
      </c>
    </row>
    <row r="10" spans="1:10" x14ac:dyDescent="0.35">
      <c r="A10" s="2">
        <v>45319</v>
      </c>
      <c r="B10" t="s">
        <v>18</v>
      </c>
      <c r="C10" t="s">
        <v>35</v>
      </c>
      <c r="D10">
        <v>15</v>
      </c>
      <c r="E10" t="s">
        <v>10</v>
      </c>
      <c r="F10" t="s">
        <v>11</v>
      </c>
      <c r="G10" t="s">
        <v>20</v>
      </c>
      <c r="H10" t="s">
        <v>36</v>
      </c>
      <c r="I10">
        <v>625</v>
      </c>
      <c r="J10">
        <v>69.444444444444443</v>
      </c>
    </row>
    <row r="11" spans="1:10" x14ac:dyDescent="0.35">
      <c r="D11">
        <f>SUM(D2:D10)</f>
        <v>625</v>
      </c>
    </row>
    <row r="12" spans="1:10" x14ac:dyDescent="0.35">
      <c r="D12">
        <f>AVERAGE(D2:D10)</f>
        <v>69.444444444444443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1</v>
      </c>
      <c r="B1" s="1" t="s">
        <v>37</v>
      </c>
      <c r="C1" s="1" t="s">
        <v>38</v>
      </c>
      <c r="D1" s="1" t="s">
        <v>39</v>
      </c>
    </row>
    <row r="2" spans="1:4" x14ac:dyDescent="0.35">
      <c r="A2" s="1" t="s">
        <v>18</v>
      </c>
      <c r="B2">
        <v>2</v>
      </c>
      <c r="C2">
        <v>40</v>
      </c>
      <c r="D2">
        <v>20</v>
      </c>
    </row>
    <row r="3" spans="1:4" x14ac:dyDescent="0.35">
      <c r="A3" s="1" t="s">
        <v>8</v>
      </c>
      <c r="B3">
        <v>3</v>
      </c>
      <c r="C3">
        <v>330</v>
      </c>
      <c r="D3">
        <v>110</v>
      </c>
    </row>
    <row r="4" spans="1:4" x14ac:dyDescent="0.35">
      <c r="A4" s="1" t="s">
        <v>32</v>
      </c>
      <c r="B4">
        <v>1</v>
      </c>
      <c r="C4">
        <v>35</v>
      </c>
      <c r="D4">
        <v>35</v>
      </c>
    </row>
    <row r="5" spans="1:4" x14ac:dyDescent="0.35">
      <c r="A5" s="1" t="s">
        <v>14</v>
      </c>
      <c r="B5">
        <v>2</v>
      </c>
      <c r="C5">
        <v>100</v>
      </c>
      <c r="D5">
        <v>50</v>
      </c>
    </row>
    <row r="6" spans="1:4" x14ac:dyDescent="0.35">
      <c r="A6" s="1" t="s">
        <v>26</v>
      </c>
      <c r="B6">
        <v>1</v>
      </c>
      <c r="C6">
        <v>120</v>
      </c>
      <c r="D6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40</v>
      </c>
      <c r="B1" s="1" t="s">
        <v>41</v>
      </c>
      <c r="C1" s="1" t="s">
        <v>42</v>
      </c>
    </row>
    <row r="2" spans="1:3" x14ac:dyDescent="0.35">
      <c r="A2" t="e">
        <f>SUM(range)</f>
        <v>#NAME?</v>
      </c>
      <c r="B2" t="s">
        <v>43</v>
      </c>
      <c r="C2" t="s">
        <v>44</v>
      </c>
    </row>
    <row r="3" spans="1:3" x14ac:dyDescent="0.35">
      <c r="A3" t="e">
        <f>AVERAGE(range)</f>
        <v>#NAME?</v>
      </c>
      <c r="B3" t="s">
        <v>45</v>
      </c>
      <c r="C3" t="s">
        <v>46</v>
      </c>
    </row>
    <row r="4" spans="1:3" x14ac:dyDescent="0.35">
      <c r="A4">
        <f>COUNT(range)</f>
        <v>0</v>
      </c>
      <c r="B4" t="s">
        <v>47</v>
      </c>
      <c r="C4" t="s">
        <v>48</v>
      </c>
    </row>
    <row r="5" spans="1:3" x14ac:dyDescent="0.35">
      <c r="A5">
        <f>COUNTA(range)</f>
        <v>1</v>
      </c>
      <c r="B5" t="s">
        <v>49</v>
      </c>
      <c r="C5" t="s">
        <v>50</v>
      </c>
    </row>
    <row r="6" spans="1:3" x14ac:dyDescent="0.35">
      <c r="A6" t="e">
        <f>IF(condition, value_if_true, value_if_false)</f>
        <v>#NAME?</v>
      </c>
      <c r="B6" t="s">
        <v>51</v>
      </c>
      <c r="C6" t="s">
        <v>52</v>
      </c>
    </row>
    <row r="7" spans="1:3" x14ac:dyDescent="0.35">
      <c r="A7" t="e">
        <f>TEXT(value, format)</f>
        <v>#NAME?</v>
      </c>
      <c r="B7" t="s">
        <v>53</v>
      </c>
      <c r="C7" t="s">
        <v>54</v>
      </c>
    </row>
    <row r="8" spans="1:3" x14ac:dyDescent="0.35">
      <c r="A8" t="e">
        <f>DATE(year, month, day)</f>
        <v>#NAME?</v>
      </c>
      <c r="B8" t="s">
        <v>55</v>
      </c>
      <c r="C8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Expenses</vt:lpstr>
      <vt:lpstr>Summary</vt:lpstr>
      <vt:lpstr>Formulas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Sarumathi U</cp:lastModifiedBy>
  <dcterms:created xsi:type="dcterms:W3CDTF">2025-12-16T06:06:15Z</dcterms:created>
  <dcterms:modified xsi:type="dcterms:W3CDTF">2025-12-16T06:13:54Z</dcterms:modified>
</cp:coreProperties>
</file>